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Do_IT 3\POK 3\"/>
    </mc:Choice>
  </mc:AlternateContent>
  <xr:revisionPtr revIDLastSave="0" documentId="13_ncr:1_{A1AF0B53-5FD3-4EA7-96BD-6E62BB5015CD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Dépenses (liste exhaustive)" sheetId="1" r:id="rId1"/>
    <sheet name="Janvier 2023" sheetId="4" r:id="rId2"/>
    <sheet name="Aout 2023" sheetId="5" r:id="rId3"/>
    <sheet name="Dashboard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8" i="4"/>
</calcChain>
</file>

<file path=xl/sharedStrings.xml><?xml version="1.0" encoding="utf-8"?>
<sst xmlns="http://schemas.openxmlformats.org/spreadsheetml/2006/main" count="94" uniqueCount="65">
  <si>
    <t>Macroactivité</t>
  </si>
  <si>
    <t>Infrastructure en tant que service</t>
  </si>
  <si>
    <t>Plateforme en tant que service</t>
  </si>
  <si>
    <t>Logiciels en tant que service</t>
  </si>
  <si>
    <t>Cloud</t>
  </si>
  <si>
    <t>Infrastructure serveur</t>
  </si>
  <si>
    <t xml:space="preserve">Infractructure de stockage </t>
  </si>
  <si>
    <t>Infrastructure d'archivage et de sauvegarde</t>
  </si>
  <si>
    <t>Infrastructure datacenter</t>
  </si>
  <si>
    <t>On Premise</t>
  </si>
  <si>
    <t>Software</t>
  </si>
  <si>
    <t>Logiciels métiers</t>
  </si>
  <si>
    <t xml:space="preserve">Logiciels techniques </t>
  </si>
  <si>
    <t xml:space="preserve">Logiciels middleware </t>
  </si>
  <si>
    <t>Data</t>
  </si>
  <si>
    <t>Gouvernance et protection des données</t>
  </si>
  <si>
    <t>Analyse de données</t>
  </si>
  <si>
    <t>Infrastructure objets connectés IOT</t>
  </si>
  <si>
    <t>Security</t>
  </si>
  <si>
    <t>Infrastructure de sécurité</t>
  </si>
  <si>
    <t>Exploitation de la sécurité et de la sécurisation</t>
  </si>
  <si>
    <t>Gestion des identités et des accès</t>
  </si>
  <si>
    <t>Network</t>
  </si>
  <si>
    <t>Infrastructure réseau data</t>
  </si>
  <si>
    <t>Abonnements et consommations data et voix</t>
  </si>
  <si>
    <t>Exploitation des infrastructures réseaux et téléphonie</t>
  </si>
  <si>
    <t>Support fonctionnel</t>
  </si>
  <si>
    <t>Sprints correctifs</t>
  </si>
  <si>
    <t>Maintenance corrective</t>
  </si>
  <si>
    <t>End User Services</t>
  </si>
  <si>
    <t>Matériels environnement de travail utilisateurs</t>
  </si>
  <si>
    <t>Logiciels environnement de travail utilisateurs</t>
  </si>
  <si>
    <t>Transverse</t>
  </si>
  <si>
    <t>Gouvernance du SI</t>
  </si>
  <si>
    <t>Encadrement et management</t>
  </si>
  <si>
    <t>Urbanisation, architecture et veille technologique</t>
  </si>
  <si>
    <t>Gestion administrative et frais administratifs</t>
  </si>
  <si>
    <t>Gestion des processus de production</t>
  </si>
  <si>
    <t>Maintenance &amp; Support</t>
  </si>
  <si>
    <t>Activité</t>
  </si>
  <si>
    <t>Estimation du coût</t>
  </si>
  <si>
    <t>En fonction du fournisseur</t>
  </si>
  <si>
    <t>k€ par service</t>
  </si>
  <si>
    <t>MIPS / MSU en pointe ou MIPS / MSU-heure</t>
  </si>
  <si>
    <t>Go / service</t>
  </si>
  <si>
    <t>par technologie en fonction des KWh consommés</t>
  </si>
  <si>
    <t>Répartition au prorata</t>
  </si>
  <si>
    <t>Nb de périphériques par service</t>
  </si>
  <si>
    <t>nb d'utilisateurs identifiés par service</t>
  </si>
  <si>
    <t>Bande passante ou affectation directe à des services "Réseau Voix" et "Réseau Data</t>
  </si>
  <si>
    <t>Bande passante ou affectation directe à des services "Réseaux" et / ou "Téléphonie"</t>
  </si>
  <si>
    <t>k€ (J-H convertis en k€ via les TJM ou k€ de forfaits)</t>
  </si>
  <si>
    <t>Répartition en fonction de la contribution J-H  par service</t>
  </si>
  <si>
    <t>Proposition d'inducteur (selon Cigref)</t>
  </si>
  <si>
    <t xml:space="preserve"> </t>
  </si>
  <si>
    <t>Sys gestion hotellerie</t>
  </si>
  <si>
    <t>Sys gestion RH</t>
  </si>
  <si>
    <t>Sys gestion comptable</t>
  </si>
  <si>
    <t>CRM</t>
  </si>
  <si>
    <t>Internet</t>
  </si>
  <si>
    <t>Dépenses</t>
  </si>
  <si>
    <t>Coûts</t>
  </si>
  <si>
    <t xml:space="preserve">Taux d'occupation </t>
  </si>
  <si>
    <t xml:space="preserve">Toutes les dépenses </t>
  </si>
  <si>
    <t xml:space="preserve">         Filtre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</si>
</sst>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/>
    <xf numFmtId="0" fontId="0" fillId="0" borderId="1" xfId="0" applyBorder="1"/>
    <xf numFmtId="0" fontId="0" fillId="2" borderId="0" xfId="0" applyFill="1" applyBorder="1"/>
    <xf numFmtId="0" fontId="0" fillId="3" borderId="0" xfId="0" applyFill="1" applyBorder="1"/>
    <xf numFmtId="9" fontId="0" fillId="0" borderId="0" xfId="0" applyNumberFormat="1"/>
    <xf numFmtId="0" fontId="0" fillId="0" borderId="11" xfId="0" applyFill="1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4" borderId="0" xfId="0" applyFill="1" applyBorder="1"/>
    <xf numFmtId="0" fontId="1" fillId="3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Janvier 2023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val>
            <c:numLit>
              <c:formatCode>General</c:formatCode>
              <c:ptCount val="2"/>
              <c:pt idx="0">
                <c:v>345</c:v>
              </c:pt>
              <c:pt idx="1">
                <c:v>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4B2-47B5-B0AB-999183F62690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smooth val="0"/>
          <c:extLst>
            <c:ext xmlns:c16="http://schemas.microsoft.com/office/drawing/2014/chart" uri="{C3380CC4-5D6E-409C-BE32-E72D297353CC}">
              <c16:uniqueId val="{00000002-04B2-47B5-B0AB-999183F6269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smooth val="0"/>
          <c:extLst>
            <c:ext xmlns:c16="http://schemas.microsoft.com/office/drawing/2014/chart" uri="{C3380CC4-5D6E-409C-BE32-E72D297353CC}">
              <c16:uniqueId val="{00000003-04B2-47B5-B0AB-999183F62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218496"/>
        <c:axId val="1190238880"/>
      </c:lineChart>
      <c:lineChart>
        <c:grouping val="standard"/>
        <c:varyColors val="0"/>
        <c:ser>
          <c:idx val="1"/>
          <c:order val="1"/>
          <c:tx>
            <c:v>Taux d'occupation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val>
            <c:numLit>
              <c:formatCode>General</c:formatCode>
              <c:ptCount val="2"/>
              <c:pt idx="0">
                <c:v>0.6</c:v>
              </c:pt>
              <c:pt idx="1">
                <c:v>0.89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4B2-47B5-B0AB-999183F62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215168"/>
        <c:axId val="1190219328"/>
      </c:lineChart>
      <c:catAx>
        <c:axId val="119021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0238880"/>
        <c:crosses val="autoZero"/>
        <c:auto val="1"/>
        <c:lblAlgn val="ctr"/>
        <c:lblOffset val="100"/>
        <c:noMultiLvlLbl val="0"/>
      </c:catAx>
      <c:valAx>
        <c:axId val="11902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Montant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0218496"/>
        <c:crosses val="autoZero"/>
        <c:crossBetween val="between"/>
      </c:valAx>
      <c:valAx>
        <c:axId val="1190219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d'occupation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0215168"/>
        <c:crosses val="max"/>
        <c:crossBetween val="between"/>
      </c:valAx>
      <c:catAx>
        <c:axId val="1190215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02193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Janvier 2023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val>
            <c:numLit>
              <c:formatCode>General</c:formatCode>
              <c:ptCount val="2"/>
              <c:pt idx="0">
                <c:v>1495</c:v>
              </c:pt>
              <c:pt idx="1">
                <c:v>1800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47A-40E6-9E94-0CBA4E5504C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smooth val="0"/>
          <c:extLst>
            <c:ext xmlns:c16="http://schemas.microsoft.com/office/drawing/2014/chart" uri="{C3380CC4-5D6E-409C-BE32-E72D297353CC}">
              <c16:uniqueId val="{00000002-647A-40E6-9E94-0CBA4E5504CF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smooth val="0"/>
          <c:extLst>
            <c:ext xmlns:c16="http://schemas.microsoft.com/office/drawing/2014/chart" uri="{C3380CC4-5D6E-409C-BE32-E72D297353CC}">
              <c16:uniqueId val="{00000003-647A-40E6-9E94-0CBA4E550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232224"/>
        <c:axId val="1190233472"/>
      </c:lineChart>
      <c:lineChart>
        <c:grouping val="standard"/>
        <c:varyColors val="0"/>
        <c:ser>
          <c:idx val="1"/>
          <c:order val="1"/>
          <c:tx>
            <c:v>Taux d'occupation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2"/>
              <c:pt idx="0">
                <c:v>Janvier</c:v>
              </c:pt>
              <c:pt idx="1">
                <c:v>Aout</c:v>
              </c:pt>
            </c:strLit>
          </c:cat>
          <c:val>
            <c:numLit>
              <c:formatCode>General</c:formatCode>
              <c:ptCount val="2"/>
              <c:pt idx="0">
                <c:v>0.6</c:v>
              </c:pt>
              <c:pt idx="1">
                <c:v>0.89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47A-40E6-9E94-0CBA4E550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214336"/>
        <c:axId val="1190235552"/>
      </c:lineChart>
      <c:catAx>
        <c:axId val="119023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0233472"/>
        <c:crosses val="autoZero"/>
        <c:auto val="1"/>
        <c:lblAlgn val="ctr"/>
        <c:lblOffset val="100"/>
        <c:noMultiLvlLbl val="0"/>
      </c:catAx>
      <c:valAx>
        <c:axId val="11902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Montant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0232224"/>
        <c:crosses val="autoZero"/>
        <c:crossBetween val="between"/>
      </c:valAx>
      <c:valAx>
        <c:axId val="11902355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d'occupation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0214336"/>
        <c:crosses val="max"/>
        <c:crossBetween val="between"/>
      </c:valAx>
      <c:catAx>
        <c:axId val="1190214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02355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2.xml"/><Relationship Id="rId5" Type="http://schemas.openxmlformats.org/officeDocument/2006/relationships/image" Target="../media/image5.svg"/><Relationship Id="rId10" Type="http://schemas.openxmlformats.org/officeDocument/2006/relationships/chart" Target="../charts/chart1.xml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0</xdr:rowOff>
    </xdr:from>
    <xdr:to>
      <xdr:col>0</xdr:col>
      <xdr:colOff>737115</xdr:colOff>
      <xdr:row>3</xdr:row>
      <xdr:rowOff>177800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724415" cy="722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145440</xdr:colOff>
      <xdr:row>6</xdr:row>
      <xdr:rowOff>2535</xdr:rowOff>
    </xdr:from>
    <xdr:to>
      <xdr:col>0</xdr:col>
      <xdr:colOff>614672</xdr:colOff>
      <xdr:row>8</xdr:row>
      <xdr:rowOff>87674</xdr:rowOff>
    </xdr:to>
    <xdr:pic>
      <xdr:nvPicPr>
        <xdr:cNvPr id="5" name="Graphic 4" descr="Presentation with pie chart with solid fil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5440" y="1091106"/>
          <a:ext cx="469232" cy="447997"/>
        </a:xfrm>
        <a:prstGeom prst="rect">
          <a:avLst/>
        </a:prstGeom>
      </xdr:spPr>
    </xdr:pic>
    <xdr:clientData/>
  </xdr:twoCellAnchor>
  <xdr:twoCellAnchor editAs="oneCell">
    <xdr:from>
      <xdr:col>0</xdr:col>
      <xdr:colOff>145174</xdr:colOff>
      <xdr:row>9</xdr:row>
      <xdr:rowOff>70468</xdr:rowOff>
    </xdr:from>
    <xdr:to>
      <xdr:col>0</xdr:col>
      <xdr:colOff>609149</xdr:colOff>
      <xdr:row>11</xdr:row>
      <xdr:rowOff>163222</xdr:rowOff>
    </xdr:to>
    <xdr:pic>
      <xdr:nvPicPr>
        <xdr:cNvPr id="6" name="Graphic 2" descr="Table with solid fil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145174" y="1751350"/>
          <a:ext cx="463975" cy="466284"/>
        </a:xfrm>
        <a:prstGeom prst="rect">
          <a:avLst/>
        </a:prstGeom>
      </xdr:spPr>
    </xdr:pic>
    <xdr:clientData/>
  </xdr:twoCellAnchor>
  <xdr:twoCellAnchor editAs="oneCell">
    <xdr:from>
      <xdr:col>0</xdr:col>
      <xdr:colOff>147903</xdr:colOff>
      <xdr:row>12</xdr:row>
      <xdr:rowOff>172469</xdr:rowOff>
    </xdr:from>
    <xdr:to>
      <xdr:col>0</xdr:col>
      <xdr:colOff>617135</xdr:colOff>
      <xdr:row>15</xdr:row>
      <xdr:rowOff>70633</xdr:rowOff>
    </xdr:to>
    <xdr:pic>
      <xdr:nvPicPr>
        <xdr:cNvPr id="7" name="Graphic 6" descr="Envelope with solid fil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903" y="2413645"/>
          <a:ext cx="469232" cy="458459"/>
        </a:xfrm>
        <a:prstGeom prst="rect">
          <a:avLst/>
        </a:prstGeom>
      </xdr:spPr>
    </xdr:pic>
    <xdr:clientData/>
  </xdr:twoCellAnchor>
  <xdr:twoCellAnchor editAs="oneCell">
    <xdr:from>
      <xdr:col>0</xdr:col>
      <xdr:colOff>189279</xdr:colOff>
      <xdr:row>16</xdr:row>
      <xdr:rowOff>128222</xdr:rowOff>
    </xdr:from>
    <xdr:to>
      <xdr:col>0</xdr:col>
      <xdr:colOff>565383</xdr:colOff>
      <xdr:row>18</xdr:row>
      <xdr:rowOff>135439</xdr:rowOff>
    </xdr:to>
    <xdr:pic>
      <xdr:nvPicPr>
        <xdr:cNvPr id="8" name="Graphic 15" descr="Question Mark with solid fill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rcRect/>
        <a:stretch/>
      </xdr:blipFill>
      <xdr:spPr>
        <a:xfrm>
          <a:off x="189279" y="3116457"/>
          <a:ext cx="376104" cy="380747"/>
        </a:xfrm>
        <a:prstGeom prst="rect">
          <a:avLst/>
        </a:prstGeom>
      </xdr:spPr>
    </xdr:pic>
    <xdr:clientData/>
  </xdr:twoCellAnchor>
  <xdr:twoCellAnchor>
    <xdr:from>
      <xdr:col>2</xdr:col>
      <xdr:colOff>72571</xdr:colOff>
      <xdr:row>0</xdr:row>
      <xdr:rowOff>82030</xdr:rowOff>
    </xdr:from>
    <xdr:to>
      <xdr:col>12</xdr:col>
      <xdr:colOff>665976</xdr:colOff>
      <xdr:row>2</xdr:row>
      <xdr:rowOff>104039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91049" y="82030"/>
          <a:ext cx="8185797" cy="39472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600" b="1"/>
            <a:t>DASHBOARD</a:t>
          </a:r>
          <a:r>
            <a:rPr lang="fr-FR" sz="1600" b="1" baseline="0"/>
            <a:t> : DEPENSES TECHNOLOGIQUES DE L'ENTREPRISE</a:t>
          </a:r>
          <a:endParaRPr lang="fr-FR" sz="1600" b="1"/>
        </a:p>
      </xdr:txBody>
    </xdr:sp>
    <xdr:clientData/>
  </xdr:twoCellAnchor>
  <xdr:twoCellAnchor>
    <xdr:from>
      <xdr:col>4</xdr:col>
      <xdr:colOff>282223</xdr:colOff>
      <xdr:row>2</xdr:row>
      <xdr:rowOff>158244</xdr:rowOff>
    </xdr:from>
    <xdr:to>
      <xdr:col>11</xdr:col>
      <xdr:colOff>141111</xdr:colOff>
      <xdr:row>18</xdr:row>
      <xdr:rowOff>94074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323951" y="518861"/>
          <a:ext cx="5181913" cy="282076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</xdr:row>
          <xdr:rowOff>6350</xdr:rowOff>
        </xdr:from>
        <xdr:to>
          <xdr:col>15</xdr:col>
          <xdr:colOff>25400</xdr:colOff>
          <xdr:row>3</xdr:row>
          <xdr:rowOff>25400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4</xdr:row>
          <xdr:rowOff>12700</xdr:rowOff>
        </xdr:from>
        <xdr:to>
          <xdr:col>15</xdr:col>
          <xdr:colOff>44450</xdr:colOff>
          <xdr:row>6</xdr:row>
          <xdr:rowOff>63500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Rénitialiser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555625</xdr:colOff>
      <xdr:row>3</xdr:row>
      <xdr:rowOff>19050</xdr:rowOff>
    </xdr:from>
    <xdr:to>
      <xdr:col>10</xdr:col>
      <xdr:colOff>555625</xdr:colOff>
      <xdr:row>18</xdr:row>
      <xdr:rowOff>0</xdr:rowOff>
    </xdr:to>
    <xdr:graphicFrame macro="">
      <xdr:nvGraphicFramePr>
        <xdr:cNvPr id="29" name="Graphique_CRM">
          <a:extLst>
            <a:ext uri="{FF2B5EF4-FFF2-40B4-BE49-F238E27FC236}">
              <a16:creationId xmlns:a16="http://schemas.microsoft.com/office/drawing/2014/main" id="{ADC14D0B-44A6-47A5-BB81-4696ACDC5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555625</xdr:colOff>
      <xdr:row>3</xdr:row>
      <xdr:rowOff>19050</xdr:rowOff>
    </xdr:from>
    <xdr:to>
      <xdr:col>10</xdr:col>
      <xdr:colOff>555625</xdr:colOff>
      <xdr:row>18</xdr:row>
      <xdr:rowOff>0</xdr:rowOff>
    </xdr:to>
    <xdr:graphicFrame macro="">
      <xdr:nvGraphicFramePr>
        <xdr:cNvPr id="30" name="Graphique_Cloud">
          <a:extLst>
            <a:ext uri="{FF2B5EF4-FFF2-40B4-BE49-F238E27FC236}">
              <a16:creationId xmlns:a16="http://schemas.microsoft.com/office/drawing/2014/main" id="{F6C5A7BE-15D6-45D5-BA6C-F07AAF17D4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32"/>
  <sheetViews>
    <sheetView zoomScale="86" workbookViewId="0">
      <selection activeCell="C34" sqref="C34"/>
    </sheetView>
  </sheetViews>
  <sheetFormatPr baseColWidth="10" defaultColWidth="8.7265625" defaultRowHeight="14.5" x14ac:dyDescent="0.35"/>
  <cols>
    <col min="1" max="1" width="20.7265625" bestFit="1" customWidth="1"/>
    <col min="2" max="2" width="45.81640625" bestFit="1" customWidth="1"/>
    <col min="3" max="3" width="71.453125" bestFit="1" customWidth="1"/>
    <col min="4" max="4" width="16.453125" bestFit="1" customWidth="1"/>
  </cols>
  <sheetData>
    <row r="1" spans="1:4" x14ac:dyDescent="0.35">
      <c r="A1" s="1" t="s">
        <v>0</v>
      </c>
      <c r="B1" s="1" t="s">
        <v>39</v>
      </c>
      <c r="C1" s="8" t="s">
        <v>53</v>
      </c>
      <c r="D1" s="1" t="s">
        <v>40</v>
      </c>
    </row>
    <row r="2" spans="1:4" x14ac:dyDescent="0.35">
      <c r="A2" s="14" t="s">
        <v>4</v>
      </c>
      <c r="B2" s="2" t="s">
        <v>1</v>
      </c>
      <c r="C2" s="2" t="s">
        <v>41</v>
      </c>
      <c r="D2" s="3"/>
    </row>
    <row r="3" spans="1:4" x14ac:dyDescent="0.35">
      <c r="A3" s="15"/>
      <c r="B3" s="4" t="s">
        <v>2</v>
      </c>
      <c r="C3" s="4" t="s">
        <v>41</v>
      </c>
      <c r="D3" s="5"/>
    </row>
    <row r="4" spans="1:4" x14ac:dyDescent="0.35">
      <c r="A4" s="16"/>
      <c r="B4" s="6" t="s">
        <v>3</v>
      </c>
      <c r="C4" s="6" t="s">
        <v>42</v>
      </c>
      <c r="D4" s="7"/>
    </row>
    <row r="5" spans="1:4" x14ac:dyDescent="0.35">
      <c r="A5" s="14" t="s">
        <v>9</v>
      </c>
      <c r="B5" s="2" t="s">
        <v>5</v>
      </c>
      <c r="C5" t="s">
        <v>43</v>
      </c>
      <c r="D5" s="3"/>
    </row>
    <row r="6" spans="1:4" x14ac:dyDescent="0.35">
      <c r="A6" s="15"/>
      <c r="B6" s="4" t="s">
        <v>6</v>
      </c>
      <c r="C6" t="s">
        <v>44</v>
      </c>
      <c r="D6" s="5"/>
    </row>
    <row r="7" spans="1:4" x14ac:dyDescent="0.35">
      <c r="A7" s="15"/>
      <c r="B7" s="4" t="s">
        <v>7</v>
      </c>
      <c r="C7" s="4" t="s">
        <v>44</v>
      </c>
      <c r="D7" s="5"/>
    </row>
    <row r="8" spans="1:4" x14ac:dyDescent="0.35">
      <c r="A8" s="16"/>
      <c r="B8" s="6" t="s">
        <v>8</v>
      </c>
      <c r="C8" t="s">
        <v>45</v>
      </c>
      <c r="D8" s="7"/>
    </row>
    <row r="9" spans="1:4" x14ac:dyDescent="0.35">
      <c r="A9" s="14" t="s">
        <v>10</v>
      </c>
      <c r="B9" s="2" t="s">
        <v>11</v>
      </c>
      <c r="C9" s="2" t="s">
        <v>42</v>
      </c>
      <c r="D9" s="3"/>
    </row>
    <row r="10" spans="1:4" x14ac:dyDescent="0.35">
      <c r="A10" s="15"/>
      <c r="B10" s="4" t="s">
        <v>12</v>
      </c>
      <c r="C10" s="4" t="s">
        <v>42</v>
      </c>
      <c r="D10" s="5"/>
    </row>
    <row r="11" spans="1:4" x14ac:dyDescent="0.35">
      <c r="A11" s="16"/>
      <c r="B11" s="6" t="s">
        <v>13</v>
      </c>
      <c r="C11" s="6" t="s">
        <v>42</v>
      </c>
      <c r="D11" s="7"/>
    </row>
    <row r="12" spans="1:4" x14ac:dyDescent="0.35">
      <c r="A12" s="14" t="s">
        <v>14</v>
      </c>
      <c r="B12" s="2" t="s">
        <v>15</v>
      </c>
      <c r="C12" t="s">
        <v>46</v>
      </c>
      <c r="D12" s="3"/>
    </row>
    <row r="13" spans="1:4" x14ac:dyDescent="0.35">
      <c r="A13" s="15"/>
      <c r="B13" s="4" t="s">
        <v>16</v>
      </c>
      <c r="C13" t="s">
        <v>46</v>
      </c>
      <c r="D13" s="5"/>
    </row>
    <row r="14" spans="1:4" x14ac:dyDescent="0.35">
      <c r="A14" s="16"/>
      <c r="B14" s="6" t="s">
        <v>17</v>
      </c>
      <c r="C14" t="s">
        <v>47</v>
      </c>
      <c r="D14" s="7"/>
    </row>
    <row r="15" spans="1:4" x14ac:dyDescent="0.35">
      <c r="A15" s="14" t="s">
        <v>18</v>
      </c>
      <c r="B15" s="2" t="s">
        <v>19</v>
      </c>
      <c r="C15" s="2" t="s">
        <v>46</v>
      </c>
      <c r="D15" s="3"/>
    </row>
    <row r="16" spans="1:4" x14ac:dyDescent="0.35">
      <c r="A16" s="15"/>
      <c r="B16" s="4" t="s">
        <v>20</v>
      </c>
      <c r="C16" s="4" t="s">
        <v>46</v>
      </c>
      <c r="D16" s="5"/>
    </row>
    <row r="17" spans="1:6" x14ac:dyDescent="0.35">
      <c r="A17" s="16"/>
      <c r="B17" s="6" t="s">
        <v>21</v>
      </c>
      <c r="C17" s="6" t="s">
        <v>48</v>
      </c>
      <c r="D17" s="7"/>
    </row>
    <row r="18" spans="1:6" x14ac:dyDescent="0.35">
      <c r="A18" s="14" t="s">
        <v>22</v>
      </c>
      <c r="B18" s="2" t="s">
        <v>23</v>
      </c>
      <c r="C18" t="s">
        <v>49</v>
      </c>
      <c r="D18" s="3"/>
    </row>
    <row r="19" spans="1:6" x14ac:dyDescent="0.35">
      <c r="A19" s="15"/>
      <c r="B19" s="4" t="s">
        <v>24</v>
      </c>
      <c r="C19" t="s">
        <v>49</v>
      </c>
      <c r="D19" s="5"/>
    </row>
    <row r="20" spans="1:6" x14ac:dyDescent="0.35">
      <c r="A20" s="16"/>
      <c r="B20" s="6" t="s">
        <v>25</v>
      </c>
      <c r="C20" t="s">
        <v>50</v>
      </c>
      <c r="D20" s="7"/>
    </row>
    <row r="21" spans="1:6" x14ac:dyDescent="0.35">
      <c r="A21" s="14" t="s">
        <v>38</v>
      </c>
      <c r="B21" s="2" t="s">
        <v>26</v>
      </c>
      <c r="C21" s="2" t="s">
        <v>51</v>
      </c>
      <c r="D21" s="3"/>
    </row>
    <row r="22" spans="1:6" x14ac:dyDescent="0.35">
      <c r="A22" s="15"/>
      <c r="B22" s="4" t="s">
        <v>27</v>
      </c>
      <c r="C22" s="4" t="s">
        <v>51</v>
      </c>
      <c r="D22" s="5"/>
    </row>
    <row r="23" spans="1:6" x14ac:dyDescent="0.35">
      <c r="A23" s="16"/>
      <c r="B23" s="6" t="s">
        <v>28</v>
      </c>
      <c r="C23" s="6" t="s">
        <v>51</v>
      </c>
      <c r="D23" s="7"/>
    </row>
    <row r="24" spans="1:6" x14ac:dyDescent="0.35">
      <c r="A24" s="14" t="s">
        <v>29</v>
      </c>
      <c r="B24" s="2" t="s">
        <v>30</v>
      </c>
      <c r="C24" t="s">
        <v>42</v>
      </c>
      <c r="D24" s="3"/>
    </row>
    <row r="25" spans="1:6" x14ac:dyDescent="0.35">
      <c r="A25" s="16"/>
      <c r="B25" s="6" t="s">
        <v>31</v>
      </c>
      <c r="C25" t="s">
        <v>42</v>
      </c>
      <c r="D25" s="7"/>
    </row>
    <row r="26" spans="1:6" x14ac:dyDescent="0.35">
      <c r="A26" s="14" t="s">
        <v>32</v>
      </c>
      <c r="B26" s="2" t="s">
        <v>33</v>
      </c>
      <c r="C26" s="2" t="s">
        <v>46</v>
      </c>
      <c r="D26" s="3"/>
    </row>
    <row r="27" spans="1:6" x14ac:dyDescent="0.35">
      <c r="A27" s="15"/>
      <c r="B27" s="4" t="s">
        <v>34</v>
      </c>
      <c r="C27" s="4" t="s">
        <v>52</v>
      </c>
      <c r="D27" s="5"/>
    </row>
    <row r="28" spans="1:6" x14ac:dyDescent="0.35">
      <c r="A28" s="15"/>
      <c r="B28" s="4" t="s">
        <v>35</v>
      </c>
      <c r="C28" s="4" t="s">
        <v>46</v>
      </c>
      <c r="D28" s="5"/>
    </row>
    <row r="29" spans="1:6" x14ac:dyDescent="0.35">
      <c r="A29" s="15"/>
      <c r="B29" s="4" t="s">
        <v>37</v>
      </c>
      <c r="C29" s="4" t="s">
        <v>46</v>
      </c>
      <c r="D29" s="5"/>
    </row>
    <row r="30" spans="1:6" x14ac:dyDescent="0.35">
      <c r="A30" s="16"/>
      <c r="B30" s="6" t="s">
        <v>36</v>
      </c>
      <c r="C30" s="6" t="s">
        <v>46</v>
      </c>
      <c r="D30" s="7"/>
    </row>
    <row r="32" spans="1:6" x14ac:dyDescent="0.35">
      <c r="F32" t="s">
        <v>54</v>
      </c>
    </row>
  </sheetData>
  <mergeCells count="9">
    <mergeCell ref="A21:A23"/>
    <mergeCell ref="A24:A25"/>
    <mergeCell ref="A26:A30"/>
    <mergeCell ref="A2:A4"/>
    <mergeCell ref="A5:A8"/>
    <mergeCell ref="A9:A11"/>
    <mergeCell ref="A12:A14"/>
    <mergeCell ref="A15:A17"/>
    <mergeCell ref="A18:A2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0CCF1-0D79-4170-92F1-7020B4CC808D}">
  <sheetPr codeName="Feuil2"/>
  <dimension ref="A1:B9"/>
  <sheetViews>
    <sheetView workbookViewId="0">
      <selection sqref="A1:B9"/>
    </sheetView>
  </sheetViews>
  <sheetFormatPr baseColWidth="10" defaultRowHeight="14.5" x14ac:dyDescent="0.35"/>
  <cols>
    <col min="1" max="1" width="19.26953125" bestFit="1" customWidth="1"/>
  </cols>
  <sheetData>
    <row r="1" spans="1:2" x14ac:dyDescent="0.35">
      <c r="A1" s="1" t="s">
        <v>60</v>
      </c>
      <c r="B1" s="1" t="s">
        <v>61</v>
      </c>
    </row>
    <row r="2" spans="1:2" x14ac:dyDescent="0.35">
      <c r="A2" s="9" t="s">
        <v>4</v>
      </c>
      <c r="B2" s="9">
        <v>1495</v>
      </c>
    </row>
    <row r="3" spans="1:2" x14ac:dyDescent="0.35">
      <c r="A3" s="9" t="s">
        <v>55</v>
      </c>
      <c r="B3" s="9">
        <v>720</v>
      </c>
    </row>
    <row r="4" spans="1:2" x14ac:dyDescent="0.35">
      <c r="A4" s="9" t="s">
        <v>56</v>
      </c>
      <c r="B4" s="9">
        <v>300</v>
      </c>
    </row>
    <row r="5" spans="1:2" x14ac:dyDescent="0.35">
      <c r="A5" s="9" t="s">
        <v>57</v>
      </c>
      <c r="B5" s="9">
        <v>89</v>
      </c>
    </row>
    <row r="6" spans="1:2" x14ac:dyDescent="0.35">
      <c r="A6" s="9" t="s">
        <v>58</v>
      </c>
      <c r="B6" s="9">
        <v>345</v>
      </c>
    </row>
    <row r="7" spans="1:2" x14ac:dyDescent="0.35">
      <c r="A7" s="9" t="s">
        <v>59</v>
      </c>
      <c r="B7" s="9">
        <v>2539</v>
      </c>
    </row>
    <row r="8" spans="1:2" x14ac:dyDescent="0.35">
      <c r="A8" s="13" t="s">
        <v>63</v>
      </c>
      <c r="B8">
        <f>SUM(B2:B7)</f>
        <v>5488</v>
      </c>
    </row>
    <row r="9" spans="1:2" x14ac:dyDescent="0.35">
      <c r="A9" t="s">
        <v>62</v>
      </c>
      <c r="B9" s="12">
        <v>0.6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205C1-E74D-4A15-98F0-346624D5BA17}">
  <sheetPr codeName="Feuil3"/>
  <dimension ref="A1:B11"/>
  <sheetViews>
    <sheetView tabSelected="1" workbookViewId="0">
      <selection activeCell="F18" sqref="F18"/>
    </sheetView>
  </sheetViews>
  <sheetFormatPr baseColWidth="10" defaultRowHeight="14.5" x14ac:dyDescent="0.35"/>
  <cols>
    <col min="1" max="1" width="19.26953125" bestFit="1" customWidth="1"/>
  </cols>
  <sheetData>
    <row r="1" spans="1:2" x14ac:dyDescent="0.35">
      <c r="A1" s="1" t="s">
        <v>60</v>
      </c>
      <c r="B1" s="1" t="s">
        <v>61</v>
      </c>
    </row>
    <row r="2" spans="1:2" x14ac:dyDescent="0.35">
      <c r="A2" s="9" t="s">
        <v>4</v>
      </c>
      <c r="B2" s="9">
        <v>1800</v>
      </c>
    </row>
    <row r="3" spans="1:2" x14ac:dyDescent="0.35">
      <c r="A3" s="9" t="s">
        <v>55</v>
      </c>
      <c r="B3" s="9">
        <v>720</v>
      </c>
    </row>
    <row r="4" spans="1:2" x14ac:dyDescent="0.35">
      <c r="A4" s="9" t="s">
        <v>56</v>
      </c>
      <c r="B4" s="9">
        <v>300</v>
      </c>
    </row>
    <row r="5" spans="1:2" x14ac:dyDescent="0.35">
      <c r="A5" s="9" t="s">
        <v>57</v>
      </c>
      <c r="B5" s="9">
        <v>89</v>
      </c>
    </row>
    <row r="6" spans="1:2" x14ac:dyDescent="0.35">
      <c r="A6" s="9" t="s">
        <v>58</v>
      </c>
      <c r="B6" s="9">
        <v>500</v>
      </c>
    </row>
    <row r="7" spans="1:2" x14ac:dyDescent="0.35">
      <c r="A7" s="9" t="s">
        <v>59</v>
      </c>
      <c r="B7" s="9">
        <v>2539</v>
      </c>
    </row>
    <row r="8" spans="1:2" x14ac:dyDescent="0.35">
      <c r="A8" s="13" t="s">
        <v>63</v>
      </c>
      <c r="B8">
        <f>SUM(B2:B7)</f>
        <v>5948</v>
      </c>
    </row>
    <row r="9" spans="1:2" x14ac:dyDescent="0.35">
      <c r="A9" t="s">
        <v>62</v>
      </c>
      <c r="B9" s="12">
        <v>0.89</v>
      </c>
    </row>
    <row r="11" spans="1:2" x14ac:dyDescent="0.35">
      <c r="B11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8BA73-1DE9-41B3-9A24-4EC90BA1DC14}">
  <sheetPr codeName="Feuil4"/>
  <dimension ref="A1:T26"/>
  <sheetViews>
    <sheetView zoomScale="81" zoomScaleNormal="70" workbookViewId="0">
      <selection activeCell="C7" sqref="C7"/>
    </sheetView>
  </sheetViews>
  <sheetFormatPr baseColWidth="10" defaultRowHeight="14.5" x14ac:dyDescent="0.35"/>
  <cols>
    <col min="1" max="16384" width="10.90625" style="4"/>
  </cols>
  <sheetData>
    <row r="1" spans="1:20" x14ac:dyDescent="0.35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20" x14ac:dyDescent="0.35">
      <c r="A2" s="10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20" x14ac:dyDescent="0.35">
      <c r="A3" s="10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0" x14ac:dyDescent="0.35">
      <c r="A4" s="10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0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20" x14ac:dyDescent="0.35">
      <c r="A6" s="10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20" x14ac:dyDescent="0.35">
      <c r="A7" s="10"/>
      <c r="B7" s="18" t="s">
        <v>64</v>
      </c>
      <c r="C7" s="17" t="s">
        <v>4</v>
      </c>
      <c r="D7" s="17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20" x14ac:dyDescent="0.3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20" x14ac:dyDescent="0.3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20" x14ac:dyDescent="0.35">
      <c r="A10" s="1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20" x14ac:dyDescent="0.3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20" x14ac:dyDescent="0.35">
      <c r="A12" s="10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20" x14ac:dyDescent="0.35">
      <c r="A13" s="10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T13"/>
    </row>
    <row r="14" spans="1:20" x14ac:dyDescent="0.35">
      <c r="A14" s="1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20" x14ac:dyDescent="0.35">
      <c r="A15" s="10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20" x14ac:dyDescent="0.35">
      <c r="A16" s="10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x14ac:dyDescent="0.35">
      <c r="A17" s="10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x14ac:dyDescent="0.35">
      <c r="A18" s="10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x14ac:dyDescent="0.35">
      <c r="A19" s="10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35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35">
      <c r="A21" s="10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3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x14ac:dyDescent="0.3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x14ac:dyDescent="0.3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x14ac:dyDescent="0.3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x14ac:dyDescent="0.35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AnalyserButton_Click">
                <anchor moveWithCells="1" sizeWithCells="1">
                  <from>
                    <xdr:col>13</xdr:col>
                    <xdr:colOff>25400</xdr:colOff>
                    <xdr:row>1</xdr:row>
                    <xdr:rowOff>6350</xdr:rowOff>
                  </from>
                  <to>
                    <xdr:col>15</xdr:col>
                    <xdr:colOff>25400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énitialiserButton_Click">
                <anchor moveWithCells="1" sizeWithCells="1">
                  <from>
                    <xdr:col>13</xdr:col>
                    <xdr:colOff>25400</xdr:colOff>
                    <xdr:row>4</xdr:row>
                    <xdr:rowOff>12700</xdr:rowOff>
                  </from>
                  <to>
                    <xdr:col>15</xdr:col>
                    <xdr:colOff>44450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E2F574-00EF-4B93-AF76-A3B99FAE5063}">
          <x14:formula1>
            <xm:f>'Janvier 2023'!$A$2:$A$8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Dépenses (liste exhaustive)</vt:lpstr>
      <vt:lpstr>Janvier 2023</vt:lpstr>
      <vt:lpstr>Aout 2023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kawtar bahri</dc:creator>
  <cp:lastModifiedBy>HP</cp:lastModifiedBy>
  <dcterms:created xsi:type="dcterms:W3CDTF">2015-06-05T18:17:20Z</dcterms:created>
  <dcterms:modified xsi:type="dcterms:W3CDTF">2024-03-26T13:36:21Z</dcterms:modified>
</cp:coreProperties>
</file>